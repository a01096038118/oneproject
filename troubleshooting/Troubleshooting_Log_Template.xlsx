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sj\project\troubleshooting\"/>
    </mc:Choice>
  </mc:AlternateContent>
  <bookViews>
    <workbookView xWindow="0" yWindow="0" windowWidth="21570" windowHeight="8040" activeTab="1"/>
  </bookViews>
  <sheets>
    <sheet name="대시보드" sheetId="1" r:id="rId1"/>
    <sheet name="트러블슈팅_로그" sheetId="2" r:id="rId2"/>
    <sheet name="공통_코드" sheetId="3" state="hidden" r:id="rId3"/>
  </sheets>
  <definedNames>
    <definedName name="_xlnm._FilterDatabase" localSheetId="1" hidden="1">트러블슈팅_로그!$C$4:$M$8</definedName>
  </definedNames>
  <calcPr calcId="162913"/>
</workbook>
</file>

<file path=xl/calcChain.xml><?xml version="1.0" encoding="utf-8"?>
<calcChain xmlns="http://schemas.openxmlformats.org/spreadsheetml/2006/main">
  <c r="C7" i="1" l="1"/>
  <c r="C9" i="1"/>
  <c r="C8" i="1"/>
  <c r="C6" i="1"/>
</calcChain>
</file>

<file path=xl/sharedStrings.xml><?xml version="1.0" encoding="utf-8"?>
<sst xmlns="http://schemas.openxmlformats.org/spreadsheetml/2006/main" count="82" uniqueCount="73">
  <si>
    <t>Troubleshooting 종합 대시보드</t>
  </si>
  <si>
    <t>■ 이슈 처리 현황</t>
  </si>
  <si>
    <t>지표</t>
  </si>
  <si>
    <t>건수</t>
  </si>
  <si>
    <t>전체 발생 건수</t>
  </si>
  <si>
    <t>해결 완료</t>
  </si>
  <si>
    <t>진행 중</t>
  </si>
  <si>
    <t>확인 필요</t>
  </si>
  <si>
    <t>트러블슈팅 내역 로그</t>
  </si>
  <si>
    <t>이슈 ID</t>
  </si>
  <si>
    <t>발생 일시</t>
  </si>
  <si>
    <t>문제 현상 / 제목</t>
  </si>
  <si>
    <t>상태</t>
  </si>
  <si>
    <t>우선순위</t>
  </si>
  <si>
    <t>발생 환경</t>
  </si>
  <si>
    <t>에러 로그 / 콘솔 출력</t>
  </si>
  <si>
    <t>원인 분석</t>
  </si>
  <si>
    <t>해결 방법 / 조치 사항</t>
  </si>
  <si>
    <t>담당자</t>
  </si>
  <si>
    <t>완료 일시</t>
  </si>
  <si>
    <t>ERR-2026-001</t>
  </si>
  <si>
    <t>높음</t>
  </si>
  <si>
    <t>보통</t>
  </si>
  <si>
    <t>낮음</t>
  </si>
  <si>
    <t>확인 필요</t>
    <phoneticPr fontId="6" type="noConversion"/>
  </si>
  <si>
    <t>해결 완료</t>
    <phoneticPr fontId="6" type="noConversion"/>
  </si>
  <si>
    <t>코드</t>
  </si>
  <si>
    <t>의미</t>
  </si>
  <si>
    <t>일반 오류(Error)</t>
  </si>
  <si>
    <t>BUG-2026-001</t>
  </si>
  <si>
    <t>버그(Bug)</t>
  </si>
  <si>
    <t>API 관련 문제</t>
  </si>
  <si>
    <t>DB-2026-001</t>
  </si>
  <si>
    <t>데이터베이스 문제</t>
  </si>
  <si>
    <t>AUTH-2026-001</t>
  </si>
  <si>
    <t>인증/인가 문제</t>
  </si>
  <si>
    <t>FE-2026-001</t>
  </si>
  <si>
    <t>프론트엔드 문제</t>
  </si>
  <si>
    <t>백엔드 문제</t>
  </si>
  <si>
    <t>NET-2026-001</t>
  </si>
  <si>
    <t>네트워크 문제</t>
  </si>
  <si>
    <t>PERF-2026-001</t>
  </si>
  <si>
    <t>성능 문제</t>
  </si>
  <si>
    <t>SEC-2026-001</t>
  </si>
  <si>
    <t>보안 문제</t>
  </si>
  <si>
    <t>Git 충돌 및 형상관리 문제</t>
  </si>
  <si>
    <t>DEP-2026-001</t>
  </si>
  <si>
    <t>배포(Deployment) 문제</t>
  </si>
  <si>
    <t>코드 구분</t>
    <phoneticPr fontId="6" type="noConversion"/>
  </si>
  <si>
    <t>Chrome, Windows 11</t>
    <phoneticPr fontId="6" type="noConversion"/>
  </si>
  <si>
    <t>GIT-2026-001</t>
    <phoneticPr fontId="6" type="noConversion"/>
  </si>
  <si>
    <t>GIT-2026-001</t>
    <phoneticPr fontId="6" type="noConversion"/>
  </si>
  <si>
    <t>[Git] feature/dashboard 브랜치 삭제 실패</t>
    <phoneticPr fontId="6" type="noConversion"/>
  </si>
  <si>
    <t>BE-2026-001</t>
    <phoneticPr fontId="6" type="noConversion"/>
  </si>
  <si>
    <t>BE-2026-001</t>
    <phoneticPr fontId="6" type="noConversion"/>
  </si>
  <si>
    <t>관리자 uuid 키 번호 발급</t>
    <phoneticPr fontId="6" type="noConversion"/>
  </si>
  <si>
    <t>error: cannot delete branch 'feature/dashboard' used by worktree at 'C:/khj/first_pjt’</t>
    <phoneticPr fontId="6" type="noConversion"/>
  </si>
  <si>
    <t>현재 작업 디렉토리에서 feature/dashboard 브랜치를 사용 중이어서 삭제할 수 없었음.</t>
    <phoneticPr fontId="6" type="noConversion"/>
  </si>
  <si>
    <t>git checkout dev로 다른 브랜치로 이동한 후 
git branch -D feature/dashboard 명령어로 삭제함.</t>
    <phoneticPr fontId="6" type="noConversion"/>
  </si>
  <si>
    <t>현정</t>
    <phoneticPr fontId="6" type="noConversion"/>
  </si>
  <si>
    <t>리윤</t>
    <phoneticPr fontId="6" type="noConversion"/>
  </si>
  <si>
    <t>진행 중</t>
    <phoneticPr fontId="6" type="noConversion"/>
  </si>
  <si>
    <t>jinja2.exceptions.TemplateNotFound</t>
  </si>
  <si>
    <t>API-2026-001</t>
    <phoneticPr fontId="6" type="noConversion"/>
  </si>
  <si>
    <t>API-2026-001</t>
    <phoneticPr fontId="6" type="noConversion"/>
  </si>
  <si>
    <t>Chrome, Windows 12</t>
  </si>
  <si>
    <t>템플릿 엔진 렌더링 오류</t>
    <phoneticPr fontId="6" type="noConversion"/>
  </si>
  <si>
    <t xml:space="preserve"> include/background_video.html 이 적상적으로 작동하지 않았다고 error메시지가 뜸</t>
    <phoneticPr fontId="6" type="noConversion"/>
  </si>
  <si>
    <t>index.html에서 불필요한 구문 삭제 {% include 'include/background_video.html' %}</t>
    <phoneticPr fontId="6" type="noConversion"/>
  </si>
  <si>
    <t>성진</t>
    <phoneticPr fontId="6" type="noConversion"/>
  </si>
  <si>
    <t>uuid 생성 시점과 보안 취약성 문제</t>
    <phoneticPr fontId="6" type="noConversion"/>
  </si>
  <si>
    <t xml:space="preserve">form route()에서 uuid를 생성하고 save한 후
comfirm route()에서 load하여 관리자 키가 보여지는 시점이 즉각적인 것이 아닌 유연하게 선택으로 조정할 수 있게됨. </t>
    <phoneticPr fontId="6" type="noConversion"/>
  </si>
  <si>
    <t>function/logic issue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</si>
</sst>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&quot; 건&quot;"/>
  </numFmts>
  <fonts count="8" x14ac:knownFonts="1">
    <font>
      <sz val="11"/>
      <color theme="1"/>
      <name val="맑은 고딕"/>
      <family val="2"/>
      <scheme val="minor"/>
    </font>
    <font>
      <b/>
      <sz val="16"/>
      <color rgb="FF1C2833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2E4053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4053"/>
        <bgColor rgb="FF2E4053"/>
      </patternFill>
    </fill>
    <fill>
      <patternFill patternType="solid">
        <fgColor rgb="FFFDEBD0"/>
        <bgColor rgb="FFFDEBD0"/>
      </patternFill>
    </fill>
    <fill>
      <patternFill patternType="solid">
        <fgColor rgb="FFF8F9F9"/>
        <bgColor rgb="FFF8F9F9"/>
      </patternFill>
    </fill>
    <fill>
      <patternFill patternType="solid">
        <fgColor rgb="FFD4EFDF"/>
        <bgColor rgb="FFD4EFDF"/>
      </patternFill>
    </fill>
    <fill>
      <patternFill patternType="solid">
        <fgColor rgb="FFFADBD8"/>
        <bgColor rgb="FFFADBD8"/>
      </patternFill>
    </fill>
    <fill>
      <patternFill patternType="solid">
        <fgColor rgb="FFEAECEE"/>
        <bgColor rgb="FFEAECEE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medium">
        <color rgb="FF2E4053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double">
        <color rgb="FF2E405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6" fontId="5" fillId="7" borderId="2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 vertical="center" wrapText="1"/>
    </xf>
    <xf numFmtId="176" fontId="5" fillId="5" borderId="2" xfId="0" applyNumberFormat="1" applyFont="1" applyFill="1" applyBorder="1" applyAlignment="1">
      <alignment horizontal="right" vertical="center"/>
    </xf>
    <xf numFmtId="176" fontId="5" fillId="3" borderId="2" xfId="0" applyNumberFormat="1" applyFont="1" applyFill="1" applyBorder="1" applyAlignment="1">
      <alignment horizontal="right" vertical="center"/>
    </xf>
    <xf numFmtId="0" fontId="3" fillId="0" borderId="3" xfId="0" applyFont="1" applyBorder="1" applyAlignment="1">
      <alignment horizontal="center" vertical="center" wrapText="1"/>
    </xf>
    <xf numFmtId="176" fontId="5" fillId="6" borderId="3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22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4" xfId="0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/>
    </xf>
  </cellXfs>
  <cellStyles count="1">
    <cellStyle name="표준" xfId="0" builtinId="0"/>
  </cellStyles>
  <dxfs count="20">
    <dxf>
      <border>
        <vertical/>
        <horizontal/>
      </border>
    </dxf>
    <dxf>
      <fill>
        <patternFill>
          <bgColor rgb="FF92D050"/>
        </patternFill>
      </fill>
    </dxf>
    <dxf>
      <border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border>
        <vertical/>
        <horizontal/>
      </border>
    </dxf>
    <dxf>
      <fill>
        <patternFill>
          <bgColor theme="6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border>
        <vertical/>
        <horizontal/>
      </border>
    </dxf>
    <dxf>
      <fill>
        <patternFill>
          <bgColor theme="6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-0.24994659260841701"/>
        </patternFill>
      </fill>
    </dxf>
    <dxf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6" tint="-0.24994659260841701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상태별 이슈 분포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대시보드!$B$7:$B$9</c:f>
              <c:strCache>
                <c:ptCount val="3"/>
                <c:pt idx="0">
                  <c:v>해결 완료</c:v>
                </c:pt>
                <c:pt idx="1">
                  <c:v>진행 중</c:v>
                </c:pt>
                <c:pt idx="2">
                  <c:v>확인 필요</c:v>
                </c:pt>
              </c:strCache>
            </c:strRef>
          </c:cat>
          <c:val>
            <c:numRef>
              <c:f>대시보드!$C$7:$C$9</c:f>
              <c:numCache>
                <c:formatCode>#,##0" 건"</c:formatCode>
                <c:ptCount val="3"/>
                <c:pt idx="0">
                  <c:v>2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1E-4353-9D51-3F20DA8C1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상태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건수</a:t>
                </a:r>
              </a:p>
            </c:rich>
          </c:tx>
          <c:overlay val="0"/>
        </c:title>
        <c:numFmt formatCode="#,##0&quot; 건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680000" cy="25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"/>
  <sheetViews>
    <sheetView workbookViewId="0">
      <selection activeCell="C20" sqref="C20"/>
    </sheetView>
  </sheetViews>
  <sheetFormatPr defaultRowHeight="16.5" x14ac:dyDescent="0.3"/>
  <cols>
    <col min="2" max="2" width="18" customWidth="1"/>
    <col min="3" max="3" width="14" customWidth="1"/>
    <col min="4" max="4" width="4" customWidth="1"/>
  </cols>
  <sheetData>
    <row r="2" spans="2:3" ht="30" customHeight="1" x14ac:dyDescent="0.5">
      <c r="B2" s="1" t="s">
        <v>0</v>
      </c>
    </row>
    <row r="4" spans="2:3" ht="17.25" x14ac:dyDescent="0.3">
      <c r="B4" s="2" t="s">
        <v>1</v>
      </c>
    </row>
    <row r="5" spans="2:3" ht="24" customHeight="1" x14ac:dyDescent="0.3">
      <c r="B5" s="3" t="s">
        <v>2</v>
      </c>
      <c r="C5" s="3" t="s">
        <v>3</v>
      </c>
    </row>
    <row r="6" spans="2:3" ht="21.95" customHeight="1" x14ac:dyDescent="0.3">
      <c r="B6" s="4" t="s">
        <v>4</v>
      </c>
      <c r="C6" s="5">
        <f>COUNTA(트러블슈팅_로그!$C$5:$C$100)</f>
        <v>3</v>
      </c>
    </row>
    <row r="7" spans="2:3" ht="21.95" customHeight="1" x14ac:dyDescent="0.3">
      <c r="B7" s="6" t="s">
        <v>25</v>
      </c>
      <c r="C7" s="7">
        <f>COUNTIF(트러블슈팅_로그!$F$5:$F$100, "해결 완료")</f>
        <v>2</v>
      </c>
    </row>
    <row r="8" spans="2:3" ht="21.95" customHeight="1" x14ac:dyDescent="0.3">
      <c r="B8" s="6" t="s">
        <v>6</v>
      </c>
      <c r="C8" s="8">
        <f>COUNTIF(트러블슈팅_로그!$F$5:$F$100, "진행 중")</f>
        <v>1</v>
      </c>
    </row>
    <row r="9" spans="2:3" ht="21.95" customHeight="1" x14ac:dyDescent="0.3">
      <c r="B9" s="9" t="s">
        <v>24</v>
      </c>
      <c r="C9" s="10">
        <f>COUNTIF(트러블슈팅_로그!$F$5:$F$100, "확인 필요")</f>
        <v>0</v>
      </c>
    </row>
  </sheetData>
  <phoneticPr fontId="6" type="noConversion"/>
  <pageMargins left="0.75" right="0.75" top="1" bottom="1" header="0.5" footer="0.5"/>
  <pageSetup paperSize="9" orientation="portrait" horizont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429"/>
  <sheetViews>
    <sheetView tabSelected="1" topLeftCell="C1" workbookViewId="0">
      <selection activeCell="E12" sqref="E12"/>
    </sheetView>
  </sheetViews>
  <sheetFormatPr defaultRowHeight="16.5" outlineLevelCol="1" x14ac:dyDescent="0.3"/>
  <cols>
    <col min="1" max="1" width="19.25" hidden="1" customWidth="1" outlineLevel="1"/>
    <col min="2" max="2" width="24.75" hidden="1" customWidth="1" outlineLevel="1"/>
    <col min="3" max="3" width="15" customWidth="1" collapsed="1"/>
    <col min="4" max="4" width="18" customWidth="1"/>
    <col min="5" max="5" width="32" customWidth="1"/>
    <col min="6" max="6" width="12" customWidth="1"/>
    <col min="7" max="7" width="10" customWidth="1"/>
    <col min="8" max="8" width="20" customWidth="1"/>
    <col min="9" max="10" width="35" customWidth="1"/>
    <col min="11" max="11" width="54.75" customWidth="1"/>
    <col min="12" max="12" width="12" customWidth="1"/>
    <col min="13" max="13" width="18" customWidth="1"/>
  </cols>
  <sheetData>
    <row r="2" spans="1:13" ht="30" customHeight="1" x14ac:dyDescent="0.5">
      <c r="C2" s="1" t="s">
        <v>8</v>
      </c>
    </row>
    <row r="4" spans="1:13" ht="26.1" customHeight="1" thickBot="1" x14ac:dyDescent="0.35">
      <c r="A4" s="19" t="s">
        <v>48</v>
      </c>
      <c r="B4" s="19"/>
      <c r="C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  <c r="I4" s="3" t="s">
        <v>15</v>
      </c>
      <c r="J4" s="3" t="s">
        <v>16</v>
      </c>
      <c r="K4" s="3" t="s">
        <v>17</v>
      </c>
      <c r="L4" s="3" t="s">
        <v>18</v>
      </c>
      <c r="M4" s="3" t="s">
        <v>19</v>
      </c>
    </row>
    <row r="5" spans="1:13" ht="39.950000000000003" customHeight="1" x14ac:dyDescent="0.3">
      <c r="A5" s="14" t="s">
        <v>26</v>
      </c>
      <c r="B5" s="14" t="s">
        <v>27</v>
      </c>
      <c r="C5" s="6" t="s">
        <v>51</v>
      </c>
      <c r="D5" s="15">
        <v>46198.375</v>
      </c>
      <c r="E5" s="11" t="s">
        <v>52</v>
      </c>
      <c r="F5" s="16" t="s">
        <v>5</v>
      </c>
      <c r="G5" s="6" t="s">
        <v>22</v>
      </c>
      <c r="H5" s="6" t="s">
        <v>49</v>
      </c>
      <c r="I5" s="11" t="s">
        <v>56</v>
      </c>
      <c r="J5" s="11" t="s">
        <v>57</v>
      </c>
      <c r="K5" s="11" t="s">
        <v>58</v>
      </c>
      <c r="L5" s="6" t="s">
        <v>59</v>
      </c>
      <c r="M5" s="15">
        <v>46197.388888888891</v>
      </c>
    </row>
    <row r="6" spans="1:13" ht="39.950000000000003" customHeight="1" x14ac:dyDescent="0.3">
      <c r="A6" s="18" t="s">
        <v>20</v>
      </c>
      <c r="B6" s="18" t="s">
        <v>28</v>
      </c>
      <c r="C6" s="12" t="s">
        <v>54</v>
      </c>
      <c r="D6" s="15">
        <v>46198.458333333336</v>
      </c>
      <c r="E6" s="13" t="s">
        <v>55</v>
      </c>
      <c r="F6" s="16" t="s">
        <v>61</v>
      </c>
      <c r="G6" s="12" t="s">
        <v>22</v>
      </c>
      <c r="H6" s="6" t="s">
        <v>49</v>
      </c>
      <c r="I6" s="13" t="s">
        <v>72</v>
      </c>
      <c r="J6" s="13" t="s">
        <v>70</v>
      </c>
      <c r="K6" s="13" t="s">
        <v>71</v>
      </c>
      <c r="L6" s="12" t="s">
        <v>60</v>
      </c>
      <c r="M6" s="15">
        <v>46198.388888888891</v>
      </c>
    </row>
    <row r="7" spans="1:13" ht="39.950000000000003" customHeight="1" x14ac:dyDescent="0.3">
      <c r="A7" s="18" t="s">
        <v>29</v>
      </c>
      <c r="B7" s="18" t="s">
        <v>30</v>
      </c>
      <c r="C7" s="6" t="s">
        <v>64</v>
      </c>
      <c r="D7" s="15">
        <v>46198.625</v>
      </c>
      <c r="E7" s="11" t="s">
        <v>66</v>
      </c>
      <c r="F7" s="16" t="s">
        <v>5</v>
      </c>
      <c r="G7" s="6" t="s">
        <v>23</v>
      </c>
      <c r="H7" s="6" t="s">
        <v>65</v>
      </c>
      <c r="I7" s="11" t="s">
        <v>62</v>
      </c>
      <c r="J7" s="11" t="s">
        <v>67</v>
      </c>
      <c r="K7" s="11" t="s">
        <v>68</v>
      </c>
      <c r="L7" s="6" t="s">
        <v>69</v>
      </c>
      <c r="M7" s="15">
        <v>46199.627083333333</v>
      </c>
    </row>
    <row r="8" spans="1:13" ht="39.950000000000003" customHeight="1" x14ac:dyDescent="0.3">
      <c r="A8" s="18" t="s">
        <v>63</v>
      </c>
      <c r="B8" s="18" t="s">
        <v>31</v>
      </c>
      <c r="C8" s="12"/>
      <c r="D8" s="12"/>
      <c r="E8" s="13"/>
      <c r="F8" s="16"/>
      <c r="G8" s="12"/>
      <c r="H8" s="6"/>
      <c r="I8" s="13"/>
      <c r="J8" s="13"/>
      <c r="K8" s="13"/>
      <c r="L8" s="12"/>
      <c r="M8" s="12"/>
    </row>
    <row r="9" spans="1:13" x14ac:dyDescent="0.3">
      <c r="A9" s="18" t="s">
        <v>32</v>
      </c>
      <c r="B9" s="18" t="s">
        <v>33</v>
      </c>
      <c r="F9" s="17"/>
    </row>
    <row r="10" spans="1:13" x14ac:dyDescent="0.3">
      <c r="A10" s="18" t="s">
        <v>34</v>
      </c>
      <c r="B10" s="18" t="s">
        <v>35</v>
      </c>
      <c r="F10" s="17"/>
    </row>
    <row r="11" spans="1:13" x14ac:dyDescent="0.3">
      <c r="A11" s="18" t="s">
        <v>36</v>
      </c>
      <c r="B11" s="18" t="s">
        <v>37</v>
      </c>
      <c r="F11" s="17"/>
    </row>
    <row r="12" spans="1:13" x14ac:dyDescent="0.3">
      <c r="A12" s="18" t="s">
        <v>53</v>
      </c>
      <c r="B12" s="18" t="s">
        <v>38</v>
      </c>
      <c r="F12" s="17"/>
    </row>
    <row r="13" spans="1:13" x14ac:dyDescent="0.3">
      <c r="A13" s="18" t="s">
        <v>39</v>
      </c>
      <c r="B13" s="18" t="s">
        <v>40</v>
      </c>
      <c r="F13" s="17"/>
    </row>
    <row r="14" spans="1:13" x14ac:dyDescent="0.3">
      <c r="A14" s="18" t="s">
        <v>41</v>
      </c>
      <c r="B14" s="18" t="s">
        <v>42</v>
      </c>
      <c r="F14" s="17"/>
    </row>
    <row r="15" spans="1:13" x14ac:dyDescent="0.3">
      <c r="A15" s="18" t="s">
        <v>43</v>
      </c>
      <c r="B15" s="18" t="s">
        <v>44</v>
      </c>
      <c r="F15" s="17"/>
    </row>
    <row r="16" spans="1:13" x14ac:dyDescent="0.3">
      <c r="A16" s="18" t="s">
        <v>50</v>
      </c>
      <c r="B16" s="18" t="s">
        <v>45</v>
      </c>
      <c r="F16" s="17"/>
    </row>
    <row r="17" spans="1:6" x14ac:dyDescent="0.3">
      <c r="A17" s="18" t="s">
        <v>46</v>
      </c>
      <c r="B17" s="18" t="s">
        <v>47</v>
      </c>
      <c r="F17" s="17"/>
    </row>
    <row r="18" spans="1:6" x14ac:dyDescent="0.3">
      <c r="F18" s="17"/>
    </row>
    <row r="19" spans="1:6" x14ac:dyDescent="0.3">
      <c r="F19" s="17"/>
    </row>
    <row r="20" spans="1:6" x14ac:dyDescent="0.3">
      <c r="F20" s="17"/>
    </row>
    <row r="21" spans="1:6" x14ac:dyDescent="0.3">
      <c r="F21" s="17"/>
    </row>
    <row r="22" spans="1:6" x14ac:dyDescent="0.3">
      <c r="F22" s="17"/>
    </row>
    <row r="23" spans="1:6" x14ac:dyDescent="0.3">
      <c r="F23" s="17"/>
    </row>
    <row r="24" spans="1:6" x14ac:dyDescent="0.3">
      <c r="F24" s="17"/>
    </row>
    <row r="25" spans="1:6" x14ac:dyDescent="0.3">
      <c r="F25" s="17"/>
    </row>
    <row r="26" spans="1:6" x14ac:dyDescent="0.3">
      <c r="F26" s="17"/>
    </row>
    <row r="27" spans="1:6" x14ac:dyDescent="0.3">
      <c r="F27" s="17"/>
    </row>
    <row r="28" spans="1:6" x14ac:dyDescent="0.3">
      <c r="F28" s="17"/>
    </row>
    <row r="29" spans="1:6" x14ac:dyDescent="0.3">
      <c r="F29" s="17"/>
    </row>
    <row r="30" spans="1:6" x14ac:dyDescent="0.3">
      <c r="F30" s="17"/>
    </row>
    <row r="31" spans="1:6" x14ac:dyDescent="0.3">
      <c r="F31" s="17"/>
    </row>
    <row r="32" spans="1:6" x14ac:dyDescent="0.3">
      <c r="F32" s="17"/>
    </row>
    <row r="33" spans="6:6" x14ac:dyDescent="0.3">
      <c r="F33" s="17"/>
    </row>
    <row r="34" spans="6:6" x14ac:dyDescent="0.3">
      <c r="F34" s="17"/>
    </row>
    <row r="35" spans="6:6" x14ac:dyDescent="0.3">
      <c r="F35" s="17"/>
    </row>
    <row r="36" spans="6:6" x14ac:dyDescent="0.3">
      <c r="F36" s="17"/>
    </row>
    <row r="37" spans="6:6" x14ac:dyDescent="0.3">
      <c r="F37" s="17"/>
    </row>
    <row r="38" spans="6:6" x14ac:dyDescent="0.3">
      <c r="F38" s="17"/>
    </row>
    <row r="39" spans="6:6" x14ac:dyDescent="0.3">
      <c r="F39" s="17"/>
    </row>
    <row r="40" spans="6:6" x14ac:dyDescent="0.3">
      <c r="F40" s="17"/>
    </row>
    <row r="41" spans="6:6" x14ac:dyDescent="0.3">
      <c r="F41" s="17"/>
    </row>
    <row r="42" spans="6:6" x14ac:dyDescent="0.3">
      <c r="F42" s="17"/>
    </row>
    <row r="43" spans="6:6" x14ac:dyDescent="0.3">
      <c r="F43" s="17"/>
    </row>
    <row r="44" spans="6:6" x14ac:dyDescent="0.3">
      <c r="F44" s="17"/>
    </row>
    <row r="45" spans="6:6" x14ac:dyDescent="0.3">
      <c r="F45" s="17"/>
    </row>
    <row r="46" spans="6:6" x14ac:dyDescent="0.3">
      <c r="F46" s="17"/>
    </row>
    <row r="47" spans="6:6" x14ac:dyDescent="0.3">
      <c r="F47" s="17"/>
    </row>
    <row r="48" spans="6:6" x14ac:dyDescent="0.3">
      <c r="F48" s="17"/>
    </row>
    <row r="49" spans="6:6" x14ac:dyDescent="0.3">
      <c r="F49" s="17"/>
    </row>
    <row r="50" spans="6:6" x14ac:dyDescent="0.3">
      <c r="F50" s="17"/>
    </row>
    <row r="51" spans="6:6" x14ac:dyDescent="0.3">
      <c r="F51" s="17"/>
    </row>
    <row r="52" spans="6:6" x14ac:dyDescent="0.3">
      <c r="F52" s="17"/>
    </row>
    <row r="53" spans="6:6" x14ac:dyDescent="0.3">
      <c r="F53" s="17"/>
    </row>
    <row r="54" spans="6:6" x14ac:dyDescent="0.3">
      <c r="F54" s="17"/>
    </row>
    <row r="55" spans="6:6" x14ac:dyDescent="0.3">
      <c r="F55" s="17"/>
    </row>
    <row r="56" spans="6:6" x14ac:dyDescent="0.3">
      <c r="F56" s="17"/>
    </row>
    <row r="57" spans="6:6" x14ac:dyDescent="0.3">
      <c r="F57" s="17"/>
    </row>
    <row r="58" spans="6:6" x14ac:dyDescent="0.3">
      <c r="F58" s="17"/>
    </row>
    <row r="59" spans="6:6" x14ac:dyDescent="0.3">
      <c r="F59" s="17"/>
    </row>
    <row r="60" spans="6:6" x14ac:dyDescent="0.3">
      <c r="F60" s="17"/>
    </row>
    <row r="61" spans="6:6" x14ac:dyDescent="0.3">
      <c r="F61" s="17"/>
    </row>
    <row r="62" spans="6:6" x14ac:dyDescent="0.3">
      <c r="F62" s="17"/>
    </row>
    <row r="63" spans="6:6" x14ac:dyDescent="0.3">
      <c r="F63" s="17"/>
    </row>
    <row r="64" spans="6:6" x14ac:dyDescent="0.3">
      <c r="F64" s="17"/>
    </row>
    <row r="65" spans="6:6" x14ac:dyDescent="0.3">
      <c r="F65" s="17"/>
    </row>
    <row r="66" spans="6:6" x14ac:dyDescent="0.3">
      <c r="F66" s="17"/>
    </row>
    <row r="67" spans="6:6" x14ac:dyDescent="0.3">
      <c r="F67" s="17"/>
    </row>
    <row r="68" spans="6:6" x14ac:dyDescent="0.3">
      <c r="F68" s="17"/>
    </row>
    <row r="69" spans="6:6" x14ac:dyDescent="0.3">
      <c r="F69" s="17"/>
    </row>
    <row r="70" spans="6:6" x14ac:dyDescent="0.3">
      <c r="F70" s="17"/>
    </row>
    <row r="71" spans="6:6" x14ac:dyDescent="0.3">
      <c r="F71" s="17"/>
    </row>
    <row r="72" spans="6:6" x14ac:dyDescent="0.3">
      <c r="F72" s="17"/>
    </row>
    <row r="73" spans="6:6" x14ac:dyDescent="0.3">
      <c r="F73" s="17"/>
    </row>
    <row r="74" spans="6:6" x14ac:dyDescent="0.3">
      <c r="F74" s="17"/>
    </row>
    <row r="75" spans="6:6" x14ac:dyDescent="0.3">
      <c r="F75" s="17"/>
    </row>
    <row r="76" spans="6:6" x14ac:dyDescent="0.3">
      <c r="F76" s="17"/>
    </row>
    <row r="77" spans="6:6" x14ac:dyDescent="0.3">
      <c r="F77" s="17"/>
    </row>
    <row r="78" spans="6:6" x14ac:dyDescent="0.3">
      <c r="F78" s="17"/>
    </row>
    <row r="79" spans="6:6" x14ac:dyDescent="0.3">
      <c r="F79" s="17"/>
    </row>
    <row r="80" spans="6:6" x14ac:dyDescent="0.3">
      <c r="F80" s="17"/>
    </row>
    <row r="81" spans="6:6" x14ac:dyDescent="0.3">
      <c r="F81" s="17"/>
    </row>
    <row r="82" spans="6:6" x14ac:dyDescent="0.3">
      <c r="F82" s="17"/>
    </row>
    <row r="83" spans="6:6" x14ac:dyDescent="0.3">
      <c r="F83" s="17"/>
    </row>
    <row r="84" spans="6:6" x14ac:dyDescent="0.3">
      <c r="F84" s="17"/>
    </row>
    <row r="85" spans="6:6" x14ac:dyDescent="0.3">
      <c r="F85" s="17"/>
    </row>
    <row r="86" spans="6:6" x14ac:dyDescent="0.3">
      <c r="F86" s="17"/>
    </row>
    <row r="87" spans="6:6" x14ac:dyDescent="0.3">
      <c r="F87" s="17"/>
    </row>
    <row r="88" spans="6:6" x14ac:dyDescent="0.3">
      <c r="F88" s="17"/>
    </row>
    <row r="89" spans="6:6" x14ac:dyDescent="0.3">
      <c r="F89" s="17"/>
    </row>
    <row r="90" spans="6:6" x14ac:dyDescent="0.3">
      <c r="F90" s="17"/>
    </row>
    <row r="91" spans="6:6" x14ac:dyDescent="0.3">
      <c r="F91" s="17"/>
    </row>
    <row r="92" spans="6:6" x14ac:dyDescent="0.3">
      <c r="F92" s="17"/>
    </row>
    <row r="93" spans="6:6" x14ac:dyDescent="0.3">
      <c r="F93" s="17"/>
    </row>
    <row r="94" spans="6:6" x14ac:dyDescent="0.3">
      <c r="F94" s="17"/>
    </row>
    <row r="95" spans="6:6" x14ac:dyDescent="0.3">
      <c r="F95" s="17"/>
    </row>
    <row r="96" spans="6:6" x14ac:dyDescent="0.3">
      <c r="F96" s="17"/>
    </row>
    <row r="97" spans="6:6" x14ac:dyDescent="0.3">
      <c r="F97" s="17"/>
    </row>
    <row r="98" spans="6:6" x14ac:dyDescent="0.3">
      <c r="F98" s="17"/>
    </row>
    <row r="99" spans="6:6" x14ac:dyDescent="0.3">
      <c r="F99" s="17"/>
    </row>
    <row r="100" spans="6:6" x14ac:dyDescent="0.3">
      <c r="F100" s="17"/>
    </row>
    <row r="101" spans="6:6" x14ac:dyDescent="0.3">
      <c r="F101" s="17"/>
    </row>
    <row r="102" spans="6:6" x14ac:dyDescent="0.3">
      <c r="F102" s="17"/>
    </row>
    <row r="103" spans="6:6" x14ac:dyDescent="0.3">
      <c r="F103" s="17"/>
    </row>
    <row r="104" spans="6:6" x14ac:dyDescent="0.3">
      <c r="F104" s="17"/>
    </row>
    <row r="105" spans="6:6" x14ac:dyDescent="0.3">
      <c r="F105" s="17"/>
    </row>
    <row r="106" spans="6:6" x14ac:dyDescent="0.3">
      <c r="F106" s="17"/>
    </row>
    <row r="107" spans="6:6" x14ac:dyDescent="0.3">
      <c r="F107" s="17"/>
    </row>
    <row r="108" spans="6:6" x14ac:dyDescent="0.3">
      <c r="F108" s="17"/>
    </row>
    <row r="109" spans="6:6" x14ac:dyDescent="0.3">
      <c r="F109" s="17"/>
    </row>
    <row r="110" spans="6:6" x14ac:dyDescent="0.3">
      <c r="F110" s="17"/>
    </row>
    <row r="111" spans="6:6" x14ac:dyDescent="0.3">
      <c r="F111" s="17"/>
    </row>
    <row r="112" spans="6:6" x14ac:dyDescent="0.3">
      <c r="F112" s="17"/>
    </row>
    <row r="113" spans="6:6" x14ac:dyDescent="0.3">
      <c r="F113" s="17"/>
    </row>
    <row r="114" spans="6:6" x14ac:dyDescent="0.3">
      <c r="F114" s="17"/>
    </row>
    <row r="115" spans="6:6" x14ac:dyDescent="0.3">
      <c r="F115" s="17"/>
    </row>
    <row r="116" spans="6:6" x14ac:dyDescent="0.3">
      <c r="F116" s="17"/>
    </row>
    <row r="117" spans="6:6" x14ac:dyDescent="0.3">
      <c r="F117" s="17"/>
    </row>
    <row r="118" spans="6:6" x14ac:dyDescent="0.3">
      <c r="F118" s="17"/>
    </row>
    <row r="119" spans="6:6" x14ac:dyDescent="0.3">
      <c r="F119" s="17"/>
    </row>
    <row r="120" spans="6:6" x14ac:dyDescent="0.3">
      <c r="F120" s="17"/>
    </row>
    <row r="121" spans="6:6" x14ac:dyDescent="0.3">
      <c r="F121" s="17"/>
    </row>
    <row r="122" spans="6:6" x14ac:dyDescent="0.3">
      <c r="F122" s="17"/>
    </row>
    <row r="123" spans="6:6" x14ac:dyDescent="0.3">
      <c r="F123" s="17"/>
    </row>
    <row r="124" spans="6:6" x14ac:dyDescent="0.3">
      <c r="F124" s="17"/>
    </row>
    <row r="125" spans="6:6" x14ac:dyDescent="0.3">
      <c r="F125" s="17"/>
    </row>
    <row r="126" spans="6:6" x14ac:dyDescent="0.3">
      <c r="F126" s="17"/>
    </row>
    <row r="127" spans="6:6" x14ac:dyDescent="0.3">
      <c r="F127" s="17"/>
    </row>
    <row r="128" spans="6:6" x14ac:dyDescent="0.3">
      <c r="F128" s="17"/>
    </row>
    <row r="129" spans="6:6" x14ac:dyDescent="0.3">
      <c r="F129" s="17"/>
    </row>
    <row r="130" spans="6:6" x14ac:dyDescent="0.3">
      <c r="F130" s="17"/>
    </row>
    <row r="131" spans="6:6" x14ac:dyDescent="0.3">
      <c r="F131" s="17"/>
    </row>
    <row r="132" spans="6:6" x14ac:dyDescent="0.3">
      <c r="F132" s="17"/>
    </row>
    <row r="133" spans="6:6" x14ac:dyDescent="0.3">
      <c r="F133" s="17"/>
    </row>
    <row r="134" spans="6:6" x14ac:dyDescent="0.3">
      <c r="F134" s="17"/>
    </row>
    <row r="135" spans="6:6" x14ac:dyDescent="0.3">
      <c r="F135" s="17"/>
    </row>
    <row r="136" spans="6:6" x14ac:dyDescent="0.3">
      <c r="F136" s="17"/>
    </row>
    <row r="137" spans="6:6" x14ac:dyDescent="0.3">
      <c r="F137" s="17"/>
    </row>
    <row r="138" spans="6:6" x14ac:dyDescent="0.3">
      <c r="F138" s="17"/>
    </row>
    <row r="139" spans="6:6" x14ac:dyDescent="0.3">
      <c r="F139" s="17"/>
    </row>
    <row r="140" spans="6:6" x14ac:dyDescent="0.3">
      <c r="F140" s="17"/>
    </row>
    <row r="141" spans="6:6" x14ac:dyDescent="0.3">
      <c r="F141" s="17"/>
    </row>
    <row r="142" spans="6:6" x14ac:dyDescent="0.3">
      <c r="F142" s="17"/>
    </row>
    <row r="143" spans="6:6" x14ac:dyDescent="0.3">
      <c r="F143" s="17"/>
    </row>
    <row r="144" spans="6:6" x14ac:dyDescent="0.3">
      <c r="F144" s="17"/>
    </row>
    <row r="145" spans="6:6" x14ac:dyDescent="0.3">
      <c r="F145" s="17"/>
    </row>
    <row r="146" spans="6:6" x14ac:dyDescent="0.3">
      <c r="F146" s="17"/>
    </row>
    <row r="147" spans="6:6" x14ac:dyDescent="0.3">
      <c r="F147" s="17"/>
    </row>
    <row r="148" spans="6:6" x14ac:dyDescent="0.3">
      <c r="F148" s="17"/>
    </row>
    <row r="149" spans="6:6" x14ac:dyDescent="0.3">
      <c r="F149" s="17"/>
    </row>
    <row r="150" spans="6:6" x14ac:dyDescent="0.3">
      <c r="F150" s="17"/>
    </row>
    <row r="151" spans="6:6" x14ac:dyDescent="0.3">
      <c r="F151" s="17"/>
    </row>
    <row r="152" spans="6:6" x14ac:dyDescent="0.3">
      <c r="F152" s="17"/>
    </row>
    <row r="153" spans="6:6" x14ac:dyDescent="0.3">
      <c r="F153" s="17"/>
    </row>
    <row r="154" spans="6:6" x14ac:dyDescent="0.3">
      <c r="F154" s="17"/>
    </row>
    <row r="155" spans="6:6" x14ac:dyDescent="0.3">
      <c r="F155" s="17"/>
    </row>
    <row r="156" spans="6:6" x14ac:dyDescent="0.3">
      <c r="F156" s="17"/>
    </row>
    <row r="157" spans="6:6" x14ac:dyDescent="0.3">
      <c r="F157" s="17"/>
    </row>
    <row r="158" spans="6:6" x14ac:dyDescent="0.3">
      <c r="F158" s="17"/>
    </row>
    <row r="159" spans="6:6" x14ac:dyDescent="0.3">
      <c r="F159" s="17"/>
    </row>
    <row r="160" spans="6:6" x14ac:dyDescent="0.3">
      <c r="F160" s="17"/>
    </row>
    <row r="161" spans="6:6" x14ac:dyDescent="0.3">
      <c r="F161" s="17"/>
    </row>
    <row r="162" spans="6:6" x14ac:dyDescent="0.3">
      <c r="F162" s="17"/>
    </row>
    <row r="163" spans="6:6" x14ac:dyDescent="0.3">
      <c r="F163" s="17"/>
    </row>
    <row r="164" spans="6:6" x14ac:dyDescent="0.3">
      <c r="F164" s="17"/>
    </row>
    <row r="165" spans="6:6" x14ac:dyDescent="0.3">
      <c r="F165" s="17"/>
    </row>
    <row r="166" spans="6:6" x14ac:dyDescent="0.3">
      <c r="F166" s="17"/>
    </row>
    <row r="167" spans="6:6" x14ac:dyDescent="0.3">
      <c r="F167" s="17"/>
    </row>
    <row r="168" spans="6:6" x14ac:dyDescent="0.3">
      <c r="F168" s="17"/>
    </row>
    <row r="169" spans="6:6" x14ac:dyDescent="0.3">
      <c r="F169" s="17"/>
    </row>
    <row r="170" spans="6:6" x14ac:dyDescent="0.3">
      <c r="F170" s="17"/>
    </row>
    <row r="171" spans="6:6" x14ac:dyDescent="0.3">
      <c r="F171" s="17"/>
    </row>
    <row r="172" spans="6:6" x14ac:dyDescent="0.3">
      <c r="F172" s="17"/>
    </row>
    <row r="173" spans="6:6" x14ac:dyDescent="0.3">
      <c r="F173" s="17"/>
    </row>
    <row r="174" spans="6:6" x14ac:dyDescent="0.3">
      <c r="F174" s="17"/>
    </row>
    <row r="175" spans="6:6" x14ac:dyDescent="0.3">
      <c r="F175" s="17"/>
    </row>
    <row r="176" spans="6:6" x14ac:dyDescent="0.3">
      <c r="F176" s="17"/>
    </row>
    <row r="177" spans="6:6" x14ac:dyDescent="0.3">
      <c r="F177" s="17"/>
    </row>
    <row r="178" spans="6:6" x14ac:dyDescent="0.3">
      <c r="F178" s="17"/>
    </row>
    <row r="179" spans="6:6" x14ac:dyDescent="0.3">
      <c r="F179" s="17"/>
    </row>
    <row r="180" spans="6:6" x14ac:dyDescent="0.3">
      <c r="F180" s="17"/>
    </row>
    <row r="181" spans="6:6" x14ac:dyDescent="0.3">
      <c r="F181" s="17"/>
    </row>
    <row r="182" spans="6:6" x14ac:dyDescent="0.3">
      <c r="F182" s="17"/>
    </row>
    <row r="183" spans="6:6" x14ac:dyDescent="0.3">
      <c r="F183" s="17"/>
    </row>
    <row r="184" spans="6:6" x14ac:dyDescent="0.3">
      <c r="F184" s="17"/>
    </row>
    <row r="185" spans="6:6" x14ac:dyDescent="0.3">
      <c r="F185" s="17"/>
    </row>
    <row r="186" spans="6:6" x14ac:dyDescent="0.3">
      <c r="F186" s="17"/>
    </row>
    <row r="187" spans="6:6" x14ac:dyDescent="0.3">
      <c r="F187" s="17"/>
    </row>
    <row r="188" spans="6:6" x14ac:dyDescent="0.3">
      <c r="F188" s="17"/>
    </row>
    <row r="189" spans="6:6" x14ac:dyDescent="0.3">
      <c r="F189" s="17"/>
    </row>
    <row r="190" spans="6:6" x14ac:dyDescent="0.3">
      <c r="F190" s="17"/>
    </row>
    <row r="191" spans="6:6" x14ac:dyDescent="0.3">
      <c r="F191" s="17"/>
    </row>
    <row r="192" spans="6:6" x14ac:dyDescent="0.3">
      <c r="F192" s="17"/>
    </row>
    <row r="193" spans="6:6" x14ac:dyDescent="0.3">
      <c r="F193" s="17"/>
    </row>
    <row r="194" spans="6:6" x14ac:dyDescent="0.3">
      <c r="F194" s="17"/>
    </row>
    <row r="195" spans="6:6" x14ac:dyDescent="0.3">
      <c r="F195" s="17"/>
    </row>
    <row r="196" spans="6:6" x14ac:dyDescent="0.3">
      <c r="F196" s="17"/>
    </row>
    <row r="197" spans="6:6" x14ac:dyDescent="0.3">
      <c r="F197" s="17"/>
    </row>
    <row r="198" spans="6:6" x14ac:dyDescent="0.3">
      <c r="F198" s="17"/>
    </row>
    <row r="199" spans="6:6" x14ac:dyDescent="0.3">
      <c r="F199" s="17"/>
    </row>
    <row r="200" spans="6:6" x14ac:dyDescent="0.3">
      <c r="F200" s="17"/>
    </row>
    <row r="201" spans="6:6" x14ac:dyDescent="0.3">
      <c r="F201" s="17"/>
    </row>
    <row r="202" spans="6:6" x14ac:dyDescent="0.3">
      <c r="F202" s="17"/>
    </row>
    <row r="203" spans="6:6" x14ac:dyDescent="0.3">
      <c r="F203" s="17"/>
    </row>
    <row r="204" spans="6:6" x14ac:dyDescent="0.3">
      <c r="F204" s="17"/>
    </row>
    <row r="205" spans="6:6" x14ac:dyDescent="0.3">
      <c r="F205" s="17"/>
    </row>
    <row r="206" spans="6:6" x14ac:dyDescent="0.3">
      <c r="F206" s="17"/>
    </row>
    <row r="207" spans="6:6" x14ac:dyDescent="0.3">
      <c r="F207" s="17"/>
    </row>
    <row r="208" spans="6:6" x14ac:dyDescent="0.3">
      <c r="F208" s="17"/>
    </row>
    <row r="209" spans="6:6" x14ac:dyDescent="0.3">
      <c r="F209" s="17"/>
    </row>
    <row r="210" spans="6:6" x14ac:dyDescent="0.3">
      <c r="F210" s="17"/>
    </row>
    <row r="211" spans="6:6" x14ac:dyDescent="0.3">
      <c r="F211" s="17"/>
    </row>
    <row r="212" spans="6:6" x14ac:dyDescent="0.3">
      <c r="F212" s="17"/>
    </row>
    <row r="213" spans="6:6" x14ac:dyDescent="0.3">
      <c r="F213" s="17"/>
    </row>
    <row r="214" spans="6:6" x14ac:dyDescent="0.3">
      <c r="F214" s="17"/>
    </row>
    <row r="215" spans="6:6" x14ac:dyDescent="0.3">
      <c r="F215" s="17"/>
    </row>
    <row r="216" spans="6:6" x14ac:dyDescent="0.3">
      <c r="F216" s="17"/>
    </row>
    <row r="217" spans="6:6" x14ac:dyDescent="0.3">
      <c r="F217" s="17"/>
    </row>
    <row r="218" spans="6:6" x14ac:dyDescent="0.3">
      <c r="F218" s="17"/>
    </row>
    <row r="219" spans="6:6" x14ac:dyDescent="0.3">
      <c r="F219" s="17"/>
    </row>
    <row r="220" spans="6:6" x14ac:dyDescent="0.3">
      <c r="F220" s="17"/>
    </row>
    <row r="221" spans="6:6" x14ac:dyDescent="0.3">
      <c r="F221" s="17"/>
    </row>
    <row r="222" spans="6:6" x14ac:dyDescent="0.3">
      <c r="F222" s="17"/>
    </row>
    <row r="223" spans="6:6" x14ac:dyDescent="0.3">
      <c r="F223" s="17"/>
    </row>
    <row r="224" spans="6:6" x14ac:dyDescent="0.3">
      <c r="F224" s="17"/>
    </row>
    <row r="225" spans="6:6" x14ac:dyDescent="0.3">
      <c r="F225" s="17"/>
    </row>
    <row r="226" spans="6:6" x14ac:dyDescent="0.3">
      <c r="F226" s="17"/>
    </row>
    <row r="227" spans="6:6" x14ac:dyDescent="0.3">
      <c r="F227" s="17"/>
    </row>
    <row r="228" spans="6:6" x14ac:dyDescent="0.3">
      <c r="F228" s="17"/>
    </row>
    <row r="229" spans="6:6" x14ac:dyDescent="0.3">
      <c r="F229" s="17"/>
    </row>
    <row r="230" spans="6:6" x14ac:dyDescent="0.3">
      <c r="F230" s="17"/>
    </row>
    <row r="231" spans="6:6" x14ac:dyDescent="0.3">
      <c r="F231" s="17"/>
    </row>
    <row r="232" spans="6:6" x14ac:dyDescent="0.3">
      <c r="F232" s="17"/>
    </row>
    <row r="233" spans="6:6" x14ac:dyDescent="0.3">
      <c r="F233" s="17"/>
    </row>
    <row r="234" spans="6:6" x14ac:dyDescent="0.3">
      <c r="F234" s="17"/>
    </row>
    <row r="235" spans="6:6" x14ac:dyDescent="0.3">
      <c r="F235" s="17"/>
    </row>
    <row r="236" spans="6:6" x14ac:dyDescent="0.3">
      <c r="F236" s="17"/>
    </row>
    <row r="237" spans="6:6" x14ac:dyDescent="0.3">
      <c r="F237" s="17"/>
    </row>
    <row r="238" spans="6:6" x14ac:dyDescent="0.3">
      <c r="F238" s="17"/>
    </row>
    <row r="239" spans="6:6" x14ac:dyDescent="0.3">
      <c r="F239" s="17"/>
    </row>
    <row r="240" spans="6:6" x14ac:dyDescent="0.3">
      <c r="F240" s="17"/>
    </row>
    <row r="241" spans="6:6" x14ac:dyDescent="0.3">
      <c r="F241" s="17"/>
    </row>
    <row r="242" spans="6:6" x14ac:dyDescent="0.3">
      <c r="F242" s="17"/>
    </row>
    <row r="243" spans="6:6" x14ac:dyDescent="0.3">
      <c r="F243" s="17"/>
    </row>
    <row r="244" spans="6:6" x14ac:dyDescent="0.3">
      <c r="F244" s="17"/>
    </row>
    <row r="245" spans="6:6" x14ac:dyDescent="0.3">
      <c r="F245" s="17"/>
    </row>
    <row r="246" spans="6:6" x14ac:dyDescent="0.3">
      <c r="F246" s="17"/>
    </row>
    <row r="247" spans="6:6" x14ac:dyDescent="0.3">
      <c r="F247" s="17"/>
    </row>
    <row r="248" spans="6:6" x14ac:dyDescent="0.3">
      <c r="F248" s="17"/>
    </row>
    <row r="249" spans="6:6" x14ac:dyDescent="0.3">
      <c r="F249" s="17"/>
    </row>
    <row r="250" spans="6:6" x14ac:dyDescent="0.3">
      <c r="F250" s="17"/>
    </row>
    <row r="251" spans="6:6" x14ac:dyDescent="0.3">
      <c r="F251" s="17"/>
    </row>
    <row r="252" spans="6:6" x14ac:dyDescent="0.3">
      <c r="F252" s="17"/>
    </row>
    <row r="253" spans="6:6" x14ac:dyDescent="0.3">
      <c r="F253" s="17"/>
    </row>
    <row r="254" spans="6:6" x14ac:dyDescent="0.3">
      <c r="F254" s="17"/>
    </row>
    <row r="255" spans="6:6" x14ac:dyDescent="0.3">
      <c r="F255" s="17"/>
    </row>
    <row r="256" spans="6:6" x14ac:dyDescent="0.3">
      <c r="F256" s="17"/>
    </row>
    <row r="257" spans="6:6" x14ac:dyDescent="0.3">
      <c r="F257" s="17"/>
    </row>
    <row r="258" spans="6:6" x14ac:dyDescent="0.3">
      <c r="F258" s="17"/>
    </row>
    <row r="259" spans="6:6" x14ac:dyDescent="0.3">
      <c r="F259" s="17"/>
    </row>
    <row r="260" spans="6:6" x14ac:dyDescent="0.3">
      <c r="F260" s="17"/>
    </row>
    <row r="261" spans="6:6" x14ac:dyDescent="0.3">
      <c r="F261" s="17"/>
    </row>
    <row r="262" spans="6:6" x14ac:dyDescent="0.3">
      <c r="F262" s="17"/>
    </row>
    <row r="263" spans="6:6" x14ac:dyDescent="0.3">
      <c r="F263" s="17"/>
    </row>
    <row r="264" spans="6:6" x14ac:dyDescent="0.3">
      <c r="F264" s="17"/>
    </row>
    <row r="265" spans="6:6" x14ac:dyDescent="0.3">
      <c r="F265" s="17"/>
    </row>
    <row r="266" spans="6:6" x14ac:dyDescent="0.3">
      <c r="F266" s="17"/>
    </row>
    <row r="267" spans="6:6" x14ac:dyDescent="0.3">
      <c r="F267" s="17"/>
    </row>
    <row r="268" spans="6:6" x14ac:dyDescent="0.3">
      <c r="F268" s="17"/>
    </row>
    <row r="269" spans="6:6" x14ac:dyDescent="0.3">
      <c r="F269" s="17"/>
    </row>
    <row r="270" spans="6:6" x14ac:dyDescent="0.3">
      <c r="F270" s="17"/>
    </row>
    <row r="271" spans="6:6" x14ac:dyDescent="0.3">
      <c r="F271" s="17"/>
    </row>
    <row r="272" spans="6:6" x14ac:dyDescent="0.3">
      <c r="F272" s="17"/>
    </row>
    <row r="273" spans="6:6" x14ac:dyDescent="0.3">
      <c r="F273" s="17"/>
    </row>
    <row r="274" spans="6:6" x14ac:dyDescent="0.3">
      <c r="F274" s="17"/>
    </row>
    <row r="275" spans="6:6" x14ac:dyDescent="0.3">
      <c r="F275" s="17"/>
    </row>
    <row r="276" spans="6:6" x14ac:dyDescent="0.3">
      <c r="F276" s="17"/>
    </row>
    <row r="277" spans="6:6" x14ac:dyDescent="0.3">
      <c r="F277" s="17"/>
    </row>
    <row r="278" spans="6:6" x14ac:dyDescent="0.3">
      <c r="F278" s="17"/>
    </row>
    <row r="279" spans="6:6" x14ac:dyDescent="0.3">
      <c r="F279" s="17"/>
    </row>
    <row r="280" spans="6:6" x14ac:dyDescent="0.3">
      <c r="F280" s="17"/>
    </row>
    <row r="281" spans="6:6" x14ac:dyDescent="0.3">
      <c r="F281" s="17"/>
    </row>
    <row r="282" spans="6:6" x14ac:dyDescent="0.3">
      <c r="F282" s="17"/>
    </row>
    <row r="283" spans="6:6" x14ac:dyDescent="0.3">
      <c r="F283" s="17"/>
    </row>
    <row r="284" spans="6:6" x14ac:dyDescent="0.3">
      <c r="F284" s="17"/>
    </row>
    <row r="285" spans="6:6" x14ac:dyDescent="0.3">
      <c r="F285" s="17"/>
    </row>
    <row r="286" spans="6:6" x14ac:dyDescent="0.3">
      <c r="F286" s="17"/>
    </row>
    <row r="287" spans="6:6" x14ac:dyDescent="0.3">
      <c r="F287" s="17"/>
    </row>
    <row r="288" spans="6:6" x14ac:dyDescent="0.3">
      <c r="F288" s="17"/>
    </row>
    <row r="289" spans="6:6" x14ac:dyDescent="0.3">
      <c r="F289" s="17"/>
    </row>
    <row r="290" spans="6:6" x14ac:dyDescent="0.3">
      <c r="F290" s="17"/>
    </row>
    <row r="291" spans="6:6" x14ac:dyDescent="0.3">
      <c r="F291" s="17"/>
    </row>
    <row r="292" spans="6:6" x14ac:dyDescent="0.3">
      <c r="F292" s="17"/>
    </row>
    <row r="293" spans="6:6" x14ac:dyDescent="0.3">
      <c r="F293" s="17"/>
    </row>
    <row r="294" spans="6:6" x14ac:dyDescent="0.3">
      <c r="F294" s="17"/>
    </row>
    <row r="295" spans="6:6" x14ac:dyDescent="0.3">
      <c r="F295" s="17"/>
    </row>
    <row r="296" spans="6:6" x14ac:dyDescent="0.3">
      <c r="F296" s="17"/>
    </row>
    <row r="297" spans="6:6" x14ac:dyDescent="0.3">
      <c r="F297" s="17"/>
    </row>
    <row r="298" spans="6:6" x14ac:dyDescent="0.3">
      <c r="F298" s="17"/>
    </row>
    <row r="299" spans="6:6" x14ac:dyDescent="0.3">
      <c r="F299" s="17"/>
    </row>
    <row r="300" spans="6:6" x14ac:dyDescent="0.3">
      <c r="F300" s="17"/>
    </row>
    <row r="301" spans="6:6" x14ac:dyDescent="0.3">
      <c r="F301" s="17"/>
    </row>
    <row r="302" spans="6:6" x14ac:dyDescent="0.3">
      <c r="F302" s="17"/>
    </row>
    <row r="303" spans="6:6" x14ac:dyDescent="0.3">
      <c r="F303" s="17"/>
    </row>
    <row r="304" spans="6:6" x14ac:dyDescent="0.3">
      <c r="F304" s="17"/>
    </row>
    <row r="305" spans="6:6" x14ac:dyDescent="0.3">
      <c r="F305" s="17"/>
    </row>
    <row r="306" spans="6:6" x14ac:dyDescent="0.3">
      <c r="F306" s="17"/>
    </row>
    <row r="307" spans="6:6" x14ac:dyDescent="0.3">
      <c r="F307" s="17"/>
    </row>
    <row r="308" spans="6:6" x14ac:dyDescent="0.3">
      <c r="F308" s="17"/>
    </row>
    <row r="309" spans="6:6" x14ac:dyDescent="0.3">
      <c r="F309" s="17"/>
    </row>
    <row r="310" spans="6:6" x14ac:dyDescent="0.3">
      <c r="F310" s="17"/>
    </row>
    <row r="311" spans="6:6" x14ac:dyDescent="0.3">
      <c r="F311" s="17"/>
    </row>
    <row r="312" spans="6:6" x14ac:dyDescent="0.3">
      <c r="F312" s="17"/>
    </row>
    <row r="313" spans="6:6" x14ac:dyDescent="0.3">
      <c r="F313" s="17"/>
    </row>
    <row r="314" spans="6:6" x14ac:dyDescent="0.3">
      <c r="F314" s="17"/>
    </row>
    <row r="315" spans="6:6" x14ac:dyDescent="0.3">
      <c r="F315" s="17"/>
    </row>
    <row r="316" spans="6:6" x14ac:dyDescent="0.3">
      <c r="F316" s="17"/>
    </row>
    <row r="317" spans="6:6" x14ac:dyDescent="0.3">
      <c r="F317" s="17"/>
    </row>
    <row r="318" spans="6:6" x14ac:dyDescent="0.3">
      <c r="F318" s="17"/>
    </row>
    <row r="319" spans="6:6" x14ac:dyDescent="0.3">
      <c r="F319" s="17"/>
    </row>
    <row r="320" spans="6:6" x14ac:dyDescent="0.3">
      <c r="F320" s="17"/>
    </row>
    <row r="321" spans="6:6" x14ac:dyDescent="0.3">
      <c r="F321" s="17"/>
    </row>
    <row r="322" spans="6:6" x14ac:dyDescent="0.3">
      <c r="F322" s="17"/>
    </row>
    <row r="323" spans="6:6" x14ac:dyDescent="0.3">
      <c r="F323" s="17"/>
    </row>
    <row r="324" spans="6:6" x14ac:dyDescent="0.3">
      <c r="F324" s="17"/>
    </row>
    <row r="325" spans="6:6" x14ac:dyDescent="0.3">
      <c r="F325" s="17"/>
    </row>
    <row r="326" spans="6:6" x14ac:dyDescent="0.3">
      <c r="F326" s="17"/>
    </row>
    <row r="327" spans="6:6" x14ac:dyDescent="0.3">
      <c r="F327" s="17"/>
    </row>
    <row r="328" spans="6:6" x14ac:dyDescent="0.3">
      <c r="F328" s="17"/>
    </row>
    <row r="329" spans="6:6" x14ac:dyDescent="0.3">
      <c r="F329" s="17"/>
    </row>
    <row r="330" spans="6:6" x14ac:dyDescent="0.3">
      <c r="F330" s="17"/>
    </row>
    <row r="331" spans="6:6" x14ac:dyDescent="0.3">
      <c r="F331" s="17"/>
    </row>
    <row r="332" spans="6:6" x14ac:dyDescent="0.3">
      <c r="F332" s="17"/>
    </row>
    <row r="333" spans="6:6" x14ac:dyDescent="0.3">
      <c r="F333" s="17"/>
    </row>
    <row r="334" spans="6:6" x14ac:dyDescent="0.3">
      <c r="F334" s="17"/>
    </row>
    <row r="335" spans="6:6" x14ac:dyDescent="0.3">
      <c r="F335" s="17"/>
    </row>
    <row r="336" spans="6:6" x14ac:dyDescent="0.3">
      <c r="F336" s="17"/>
    </row>
    <row r="337" spans="6:6" x14ac:dyDescent="0.3">
      <c r="F337" s="17"/>
    </row>
    <row r="338" spans="6:6" x14ac:dyDescent="0.3">
      <c r="F338" s="17"/>
    </row>
    <row r="339" spans="6:6" x14ac:dyDescent="0.3">
      <c r="F339" s="17"/>
    </row>
    <row r="340" spans="6:6" x14ac:dyDescent="0.3">
      <c r="F340" s="17"/>
    </row>
    <row r="341" spans="6:6" x14ac:dyDescent="0.3">
      <c r="F341" s="17"/>
    </row>
    <row r="342" spans="6:6" x14ac:dyDescent="0.3">
      <c r="F342" s="17"/>
    </row>
    <row r="343" spans="6:6" x14ac:dyDescent="0.3">
      <c r="F343" s="17"/>
    </row>
    <row r="344" spans="6:6" x14ac:dyDescent="0.3">
      <c r="F344" s="17"/>
    </row>
    <row r="345" spans="6:6" x14ac:dyDescent="0.3">
      <c r="F345" s="17"/>
    </row>
    <row r="346" spans="6:6" x14ac:dyDescent="0.3">
      <c r="F346" s="17"/>
    </row>
    <row r="347" spans="6:6" x14ac:dyDescent="0.3">
      <c r="F347" s="17"/>
    </row>
    <row r="348" spans="6:6" x14ac:dyDescent="0.3">
      <c r="F348" s="17"/>
    </row>
    <row r="349" spans="6:6" x14ac:dyDescent="0.3">
      <c r="F349" s="17"/>
    </row>
    <row r="350" spans="6:6" x14ac:dyDescent="0.3">
      <c r="F350" s="17"/>
    </row>
    <row r="351" spans="6:6" x14ac:dyDescent="0.3">
      <c r="F351" s="17"/>
    </row>
    <row r="352" spans="6:6" x14ac:dyDescent="0.3">
      <c r="F352" s="17"/>
    </row>
    <row r="353" spans="6:6" x14ac:dyDescent="0.3">
      <c r="F353" s="17"/>
    </row>
    <row r="354" spans="6:6" x14ac:dyDescent="0.3">
      <c r="F354" s="17"/>
    </row>
    <row r="355" spans="6:6" x14ac:dyDescent="0.3">
      <c r="F355" s="17"/>
    </row>
    <row r="356" spans="6:6" x14ac:dyDescent="0.3">
      <c r="F356" s="17"/>
    </row>
    <row r="357" spans="6:6" x14ac:dyDescent="0.3">
      <c r="F357" s="17"/>
    </row>
    <row r="358" spans="6:6" x14ac:dyDescent="0.3">
      <c r="F358" s="17"/>
    </row>
    <row r="359" spans="6:6" x14ac:dyDescent="0.3">
      <c r="F359" s="17"/>
    </row>
    <row r="360" spans="6:6" x14ac:dyDescent="0.3">
      <c r="F360" s="17"/>
    </row>
    <row r="361" spans="6:6" x14ac:dyDescent="0.3">
      <c r="F361" s="17"/>
    </row>
    <row r="362" spans="6:6" x14ac:dyDescent="0.3">
      <c r="F362" s="17"/>
    </row>
    <row r="363" spans="6:6" x14ac:dyDescent="0.3">
      <c r="F363" s="17"/>
    </row>
    <row r="364" spans="6:6" x14ac:dyDescent="0.3">
      <c r="F364" s="17"/>
    </row>
    <row r="365" spans="6:6" x14ac:dyDescent="0.3">
      <c r="F365" s="17"/>
    </row>
    <row r="366" spans="6:6" x14ac:dyDescent="0.3">
      <c r="F366" s="17"/>
    </row>
    <row r="367" spans="6:6" x14ac:dyDescent="0.3">
      <c r="F367" s="17"/>
    </row>
    <row r="368" spans="6:6" x14ac:dyDescent="0.3">
      <c r="F368" s="17"/>
    </row>
    <row r="369" spans="6:6" x14ac:dyDescent="0.3">
      <c r="F369" s="17"/>
    </row>
    <row r="370" spans="6:6" x14ac:dyDescent="0.3">
      <c r="F370" s="17"/>
    </row>
    <row r="371" spans="6:6" x14ac:dyDescent="0.3">
      <c r="F371" s="17"/>
    </row>
    <row r="372" spans="6:6" x14ac:dyDescent="0.3">
      <c r="F372" s="17"/>
    </row>
    <row r="373" spans="6:6" x14ac:dyDescent="0.3">
      <c r="F373" s="17"/>
    </row>
    <row r="374" spans="6:6" x14ac:dyDescent="0.3">
      <c r="F374" s="17"/>
    </row>
    <row r="375" spans="6:6" x14ac:dyDescent="0.3">
      <c r="F375" s="17"/>
    </row>
    <row r="376" spans="6:6" x14ac:dyDescent="0.3">
      <c r="F376" s="17"/>
    </row>
    <row r="377" spans="6:6" x14ac:dyDescent="0.3">
      <c r="F377" s="17"/>
    </row>
    <row r="378" spans="6:6" x14ac:dyDescent="0.3">
      <c r="F378" s="17"/>
    </row>
    <row r="379" spans="6:6" x14ac:dyDescent="0.3">
      <c r="F379" s="17"/>
    </row>
    <row r="380" spans="6:6" x14ac:dyDescent="0.3">
      <c r="F380" s="17"/>
    </row>
    <row r="381" spans="6:6" x14ac:dyDescent="0.3">
      <c r="F381" s="17"/>
    </row>
    <row r="382" spans="6:6" x14ac:dyDescent="0.3">
      <c r="F382" s="17"/>
    </row>
    <row r="383" spans="6:6" x14ac:dyDescent="0.3">
      <c r="F383" s="17"/>
    </row>
    <row r="384" spans="6:6" x14ac:dyDescent="0.3">
      <c r="F384" s="17"/>
    </row>
    <row r="385" spans="6:6" x14ac:dyDescent="0.3">
      <c r="F385" s="17"/>
    </row>
    <row r="386" spans="6:6" x14ac:dyDescent="0.3">
      <c r="F386" s="17"/>
    </row>
    <row r="387" spans="6:6" x14ac:dyDescent="0.3">
      <c r="F387" s="17"/>
    </row>
    <row r="388" spans="6:6" x14ac:dyDescent="0.3">
      <c r="F388" s="17"/>
    </row>
    <row r="389" spans="6:6" x14ac:dyDescent="0.3">
      <c r="F389" s="17"/>
    </row>
    <row r="390" spans="6:6" x14ac:dyDescent="0.3">
      <c r="F390" s="17"/>
    </row>
    <row r="391" spans="6:6" x14ac:dyDescent="0.3">
      <c r="F391" s="17"/>
    </row>
    <row r="392" spans="6:6" x14ac:dyDescent="0.3">
      <c r="F392" s="17"/>
    </row>
    <row r="393" spans="6:6" x14ac:dyDescent="0.3">
      <c r="F393" s="17"/>
    </row>
    <row r="394" spans="6:6" x14ac:dyDescent="0.3">
      <c r="F394" s="17"/>
    </row>
    <row r="395" spans="6:6" x14ac:dyDescent="0.3">
      <c r="F395" s="17"/>
    </row>
    <row r="396" spans="6:6" x14ac:dyDescent="0.3">
      <c r="F396" s="17"/>
    </row>
    <row r="397" spans="6:6" x14ac:dyDescent="0.3">
      <c r="F397" s="17"/>
    </row>
    <row r="398" spans="6:6" x14ac:dyDescent="0.3">
      <c r="F398" s="17"/>
    </row>
    <row r="399" spans="6:6" x14ac:dyDescent="0.3">
      <c r="F399" s="17"/>
    </row>
    <row r="400" spans="6:6" x14ac:dyDescent="0.3">
      <c r="F400" s="17"/>
    </row>
    <row r="401" spans="6:6" x14ac:dyDescent="0.3">
      <c r="F401" s="17"/>
    </row>
    <row r="402" spans="6:6" x14ac:dyDescent="0.3">
      <c r="F402" s="17"/>
    </row>
    <row r="403" spans="6:6" x14ac:dyDescent="0.3">
      <c r="F403" s="17"/>
    </row>
    <row r="404" spans="6:6" x14ac:dyDescent="0.3">
      <c r="F404" s="17"/>
    </row>
    <row r="405" spans="6:6" x14ac:dyDescent="0.3">
      <c r="F405" s="17"/>
    </row>
    <row r="406" spans="6:6" x14ac:dyDescent="0.3">
      <c r="F406" s="17"/>
    </row>
    <row r="407" spans="6:6" x14ac:dyDescent="0.3">
      <c r="F407" s="17"/>
    </row>
    <row r="408" spans="6:6" x14ac:dyDescent="0.3">
      <c r="F408" s="17"/>
    </row>
    <row r="409" spans="6:6" x14ac:dyDescent="0.3">
      <c r="F409" s="17"/>
    </row>
    <row r="410" spans="6:6" x14ac:dyDescent="0.3">
      <c r="F410" s="17"/>
    </row>
    <row r="411" spans="6:6" x14ac:dyDescent="0.3">
      <c r="F411" s="17"/>
    </row>
    <row r="412" spans="6:6" x14ac:dyDescent="0.3">
      <c r="F412" s="17"/>
    </row>
    <row r="413" spans="6:6" x14ac:dyDescent="0.3">
      <c r="F413" s="17"/>
    </row>
    <row r="414" spans="6:6" x14ac:dyDescent="0.3">
      <c r="F414" s="17"/>
    </row>
    <row r="415" spans="6:6" x14ac:dyDescent="0.3">
      <c r="F415" s="17"/>
    </row>
    <row r="416" spans="6:6" x14ac:dyDescent="0.3">
      <c r="F416" s="17"/>
    </row>
    <row r="417" spans="6:6" x14ac:dyDescent="0.3">
      <c r="F417" s="17"/>
    </row>
    <row r="418" spans="6:6" x14ac:dyDescent="0.3">
      <c r="F418" s="17"/>
    </row>
    <row r="419" spans="6:6" x14ac:dyDescent="0.3">
      <c r="F419" s="17"/>
    </row>
    <row r="420" spans="6:6" x14ac:dyDescent="0.3">
      <c r="F420" s="17"/>
    </row>
    <row r="421" spans="6:6" x14ac:dyDescent="0.3">
      <c r="F421" s="17"/>
    </row>
    <row r="422" spans="6:6" x14ac:dyDescent="0.3">
      <c r="F422" s="17"/>
    </row>
    <row r="423" spans="6:6" x14ac:dyDescent="0.3">
      <c r="F423" s="17"/>
    </row>
    <row r="424" spans="6:6" x14ac:dyDescent="0.3">
      <c r="F424" s="17"/>
    </row>
    <row r="425" spans="6:6" x14ac:dyDescent="0.3">
      <c r="F425" s="17"/>
    </row>
    <row r="426" spans="6:6" x14ac:dyDescent="0.3">
      <c r="F426" s="17"/>
    </row>
    <row r="427" spans="6:6" x14ac:dyDescent="0.3">
      <c r="F427" s="17"/>
    </row>
    <row r="428" spans="6:6" x14ac:dyDescent="0.3">
      <c r="F428" s="17"/>
    </row>
    <row r="429" spans="6:6" x14ac:dyDescent="0.3">
      <c r="F429" s="17"/>
    </row>
  </sheetData>
  <autoFilter ref="C4:M8"/>
  <mergeCells count="1">
    <mergeCell ref="A4:B4"/>
  </mergeCells>
  <phoneticPr fontId="6" type="noConversion"/>
  <conditionalFormatting sqref="F5:F429">
    <cfRule type="cellIs" dxfId="6" priority="4" operator="equal">
      <formula>"확인 필요"</formula>
    </cfRule>
    <cfRule type="cellIs" dxfId="5" priority="6" operator="equal">
      <formula>"진행 중"</formula>
    </cfRule>
  </conditionalFormatting>
  <conditionalFormatting sqref="F1:F1048576">
    <cfRule type="cellIs" dxfId="0" priority="2" operator="equal">
      <formula>"해결 완료"</formula>
    </cfRule>
    <cfRule type="cellIs" dxfId="1" priority="1" operator="equal">
      <formula>"해결 완료"</formula>
    </cfRule>
  </conditionalFormatting>
  <pageMargins left="0.75" right="0.75" top="1" bottom="1" header="0.5" footer="0.5"/>
  <pageSetup paperSize="9" orientation="portrait" horizontalDpi="4294967292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공통_코드!$A$2:$A$4</xm:f>
          </x14:formula1>
          <xm:sqref>F5:F100</xm:sqref>
        </x14:dataValidation>
        <x14:dataValidation type="list" allowBlank="1">
          <x14:formula1>
            <xm:f>공통_코드!$B$2:$B$4</xm:f>
          </x14:formula1>
          <xm:sqref>G5:G100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/>
  </sheetViews>
  <sheetFormatPr defaultRowHeight="16.5" x14ac:dyDescent="0.3"/>
  <sheetData>
    <row r="1" spans="1:2" x14ac:dyDescent="0.3">
      <c r="A1" t="s">
        <v>12</v>
      </c>
      <c r="B1" t="s">
        <v>13</v>
      </c>
    </row>
    <row r="2" spans="1:2" x14ac:dyDescent="0.3">
      <c r="A2" t="s">
        <v>5</v>
      </c>
      <c r="B2" t="s">
        <v>21</v>
      </c>
    </row>
    <row r="3" spans="1:2" x14ac:dyDescent="0.3">
      <c r="A3" t="s">
        <v>6</v>
      </c>
      <c r="B3" t="s">
        <v>22</v>
      </c>
    </row>
    <row r="4" spans="1:2" x14ac:dyDescent="0.3">
      <c r="A4" t="s">
        <v>7</v>
      </c>
      <c r="B4" t="s">
        <v>23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대시보드</vt:lpstr>
      <vt:lpstr>트러블슈팅_로그</vt:lpstr>
      <vt:lpstr>공통_코드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DW</cp:lastModifiedBy>
  <dcterms:created xsi:type="dcterms:W3CDTF">2026-06-25T05:02:22Z</dcterms:created>
  <dcterms:modified xsi:type="dcterms:W3CDTF">2026-06-26T08:11:08Z</dcterms:modified>
</cp:coreProperties>
</file>