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\Downloads\"/>
    </mc:Choice>
  </mc:AlternateContent>
  <bookViews>
    <workbookView xWindow="0" yWindow="0" windowWidth="21570" windowHeight="8040" activeTab="1"/>
  </bookViews>
  <sheets>
    <sheet name="대시보드" sheetId="1" r:id="rId1"/>
    <sheet name="트러블슈팅_로그" sheetId="2" r:id="rId2"/>
    <sheet name="공통_코드" sheetId="3" state="hidden" r:id="rId3"/>
  </sheets>
  <definedNames>
    <definedName name="_xlnm._FilterDatabase" localSheetId="1" hidden="1">트러블슈팅_로그!$A$4:$K$8</definedName>
  </definedNames>
  <calcPr calcId="162913"/>
</workbook>
</file>

<file path=xl/calcChain.xml><?xml version="1.0" encoding="utf-8"?>
<calcChain xmlns="http://schemas.openxmlformats.org/spreadsheetml/2006/main">
  <c r="C7" i="1" l="1"/>
  <c r="C9" i="1"/>
  <c r="C8" i="1"/>
  <c r="C6" i="1"/>
</calcChain>
</file>

<file path=xl/sharedStrings.xml><?xml version="1.0" encoding="utf-8"?>
<sst xmlns="http://schemas.openxmlformats.org/spreadsheetml/2006/main" count="95" uniqueCount="81">
  <si>
    <t>Troubleshooting 종합 대시보드</t>
  </si>
  <si>
    <t>■ 이슈 처리 현황</t>
  </si>
  <si>
    <t>지표</t>
  </si>
  <si>
    <t>건수</t>
  </si>
  <si>
    <t>전체 발생 건수</t>
  </si>
  <si>
    <t>해결 완료</t>
  </si>
  <si>
    <t>진행 중</t>
  </si>
  <si>
    <t>확인 필요</t>
  </si>
  <si>
    <t>트러블슈팅 내역 로그</t>
  </si>
  <si>
    <t>이슈 ID</t>
  </si>
  <si>
    <t>발생 일시</t>
  </si>
  <si>
    <t>문제 현상 / 제목</t>
  </si>
  <si>
    <t>상태</t>
  </si>
  <si>
    <t>우선순위</t>
  </si>
  <si>
    <t>발생 환경</t>
  </si>
  <si>
    <t>에러 로그 / 콘솔 출력</t>
  </si>
  <si>
    <t>원인 분석</t>
  </si>
  <si>
    <t>해결 방법 / 조치 사항</t>
  </si>
  <si>
    <t>담당자</t>
  </si>
  <si>
    <t>완료 일시</t>
  </si>
  <si>
    <t>ERR-2026-001</t>
  </si>
  <si>
    <t>2026-06-25 14:20</t>
  </si>
  <si>
    <t>로그인 버튼 클릭 시 500 에러 발생</t>
  </si>
  <si>
    <t>높음</t>
  </si>
  <si>
    <t>POST /login 500
NullPointerException</t>
  </si>
  <si>
    <t>서버측 로그인 세션 처리 중 null 객체 참조 에러 추정. 현재 로그 분석 중.</t>
  </si>
  <si>
    <t>ERR-2026-002</t>
  </si>
  <si>
    <t>2026-06-24 10:15</t>
  </si>
  <si>
    <t>메인 페이지 배너 로딩 속도 저하</t>
  </si>
  <si>
    <t>보통</t>
  </si>
  <si>
    <t>Failed to load resource: net::ERR_TIMED_OUT</t>
  </si>
  <si>
    <t>이미지 압축 가이드를 적용하여 TinyPNG로 압축 후 WebP 포맷 변환(15MB -&gt; 250KB) 조치 완료.</t>
  </si>
  <si>
    <t>2026-06-24 15:30</t>
  </si>
  <si>
    <t>ERR-2026-003</t>
  </si>
  <si>
    <t>2026-06-25 09:00</t>
  </si>
  <si>
    <t>ERR-2026-004</t>
  </si>
  <si>
    <t>2026-06-23 18:00</t>
  </si>
  <si>
    <t>낮음</t>
  </si>
  <si>
    <t>400 Bad Request</t>
  </si>
  <si>
    <t>서버엔드 및 프론트엔드 유효성 검사 정규 표현식 동일하게 맞춤 수정 완료.</t>
  </si>
  <si>
    <t>2026-06-24 11:00</t>
  </si>
  <si>
    <t>확인 필요</t>
    <phoneticPr fontId="6" type="noConversion"/>
  </si>
  <si>
    <t>해결 완료</t>
    <phoneticPr fontId="6" type="noConversion"/>
  </si>
  <si>
    <t>코드</t>
  </si>
  <si>
    <t>의미</t>
  </si>
  <si>
    <t>일반 오류(Error)</t>
  </si>
  <si>
    <t>BUG-2026-001</t>
  </si>
  <si>
    <t>버그(Bug)</t>
  </si>
  <si>
    <t>API-2026-001</t>
  </si>
  <si>
    <t>API 관련 문제</t>
  </si>
  <si>
    <t>DB-2026-001</t>
  </si>
  <si>
    <t>데이터베이스 문제</t>
  </si>
  <si>
    <t>AUTH-2026-001</t>
  </si>
  <si>
    <t>인증/인가 문제</t>
  </si>
  <si>
    <t>FE-2026-001</t>
  </si>
  <si>
    <t>프론트엔드 문제</t>
  </si>
  <si>
    <t>BE-2026-001</t>
  </si>
  <si>
    <t>백엔드 문제</t>
  </si>
  <si>
    <t>NET-2026-001</t>
  </si>
  <si>
    <t>네트워크 문제</t>
  </si>
  <si>
    <t>PERF-2026-001</t>
  </si>
  <si>
    <t>성능 문제</t>
  </si>
  <si>
    <t>SEC-2026-001</t>
  </si>
  <si>
    <t>보안 문제</t>
  </si>
  <si>
    <t>GIT-2026-001</t>
  </si>
  <si>
    <t>Git 충돌 및 형상관리 문제</t>
  </si>
  <si>
    <t>DEP-2026-001</t>
  </si>
  <si>
    <t>배포(Deployment) 문제</t>
  </si>
  <si>
    <t>코드 구분</t>
    <phoneticPr fontId="6" type="noConversion"/>
  </si>
  <si>
    <t>리윤</t>
  </si>
  <si>
    <t>현호</t>
    <phoneticPr fontId="6" type="noConversion"/>
  </si>
  <si>
    <t>대시보드 실시간 로그 현황 멈춤 현상</t>
    <phoneticPr fontId="6" type="noConversion"/>
  </si>
  <si>
    <t>마이페이지 프로필 수정 오류</t>
    <phoneticPr fontId="6" type="noConversion"/>
  </si>
  <si>
    <t>리윤</t>
    <phoneticPr fontId="6" type="noConversion"/>
  </si>
  <si>
    <t>현정</t>
    <phoneticPr fontId="6" type="noConversion"/>
  </si>
  <si>
    <t>Script error: popup blocked</t>
    <phoneticPr fontId="6" type="noConversion"/>
  </si>
  <si>
    <t>Chrome, Windows 11</t>
    <phoneticPr fontId="6" type="noConversion"/>
  </si>
  <si>
    <t>Chrome, Windows 11</t>
    <phoneticPr fontId="6" type="noConversion"/>
  </si>
  <si>
    <t>생년월일 필드의 데이터 포맷 유효성 체크 정규식 오류.</t>
    <phoneticPr fontId="6" type="noConversion"/>
  </si>
  <si>
    <t>메인 배너 이미지 원본 용량(15MB)이 너무 커서 네트워크 지연 발생함.</t>
    <phoneticPr fontId="6" type="noConversion"/>
  </si>
  <si>
    <t>frame drop 현상으로 실시간 스트리밍 불가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</si>
</sst>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&quot; 건&quot;"/>
  </numFmts>
  <fonts count="8" x14ac:knownFonts="1">
    <font>
      <sz val="11"/>
      <color theme="1"/>
      <name val="맑은 고딕"/>
      <family val="2"/>
      <scheme val="minor"/>
    </font>
    <font>
      <b/>
      <sz val="16"/>
      <color rgb="FF1C283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rgb="FF2E4053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E4053"/>
        <bgColor rgb="FF2E4053"/>
      </patternFill>
    </fill>
    <fill>
      <patternFill patternType="solid">
        <fgColor rgb="FFFDEBD0"/>
        <bgColor rgb="FFFDEBD0"/>
      </patternFill>
    </fill>
    <fill>
      <patternFill patternType="solid">
        <fgColor rgb="FFF8F9F9"/>
        <bgColor rgb="FFF8F9F9"/>
      </patternFill>
    </fill>
    <fill>
      <patternFill patternType="solid">
        <fgColor rgb="FFD4EFDF"/>
        <bgColor rgb="FFD4EFDF"/>
      </patternFill>
    </fill>
    <fill>
      <patternFill patternType="solid">
        <fgColor rgb="FFFADBD8"/>
        <bgColor rgb="FFFADBD8"/>
      </patternFill>
    </fill>
    <fill>
      <patternFill patternType="solid">
        <fgColor rgb="FFEAECEE"/>
        <bgColor rgb="FFEAECEE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medium">
        <color rgb="FF2E4053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/>
      <right/>
      <top/>
      <bottom style="double">
        <color rgb="FF2E405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176" fontId="5" fillId="7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176" fontId="5" fillId="5" borderId="2" xfId="0" applyNumberFormat="1" applyFont="1" applyFill="1" applyBorder="1" applyAlignment="1">
      <alignment horizontal="right" vertical="center"/>
    </xf>
    <xf numFmtId="176" fontId="5" fillId="3" borderId="2" xfId="0" applyNumberFormat="1" applyFont="1" applyFill="1" applyBorder="1" applyAlignment="1">
      <alignment horizontal="right" vertical="center"/>
    </xf>
    <xf numFmtId="0" fontId="3" fillId="0" borderId="3" xfId="0" applyFont="1" applyBorder="1" applyAlignment="1">
      <alignment horizontal="center" vertical="center" wrapText="1"/>
    </xf>
    <xf numFmtId="176" fontId="5" fillId="6" borderId="3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0" fillId="8" borderId="4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상태별 이슈 분포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대시보드!$B$7:$B$9</c:f>
              <c:strCache>
                <c:ptCount val="3"/>
                <c:pt idx="0">
                  <c:v>해결 완료</c:v>
                </c:pt>
                <c:pt idx="1">
                  <c:v>진행 중</c:v>
                </c:pt>
                <c:pt idx="2">
                  <c:v>확인 필요</c:v>
                </c:pt>
              </c:strCache>
            </c:strRef>
          </c:cat>
          <c:val>
            <c:numRef>
              <c:f>대시보드!$C$7:$C$9</c:f>
              <c:numCache>
                <c:formatCode>#,##0" 건"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E-4353-9D51-3F20DA8C1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상태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건수</a:t>
                </a:r>
              </a:p>
            </c:rich>
          </c:tx>
          <c:layout/>
          <c:overlay val="0"/>
        </c:title>
        <c:numFmt formatCode="#,##0&quot; 건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468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C20" sqref="C20"/>
    </sheetView>
  </sheetViews>
  <sheetFormatPr defaultRowHeight="16.5" x14ac:dyDescent="0.3"/>
  <cols>
    <col min="2" max="2" width="18" customWidth="1"/>
    <col min="3" max="3" width="14" customWidth="1"/>
    <col min="4" max="4" width="4" customWidth="1"/>
  </cols>
  <sheetData>
    <row r="2" spans="2:3" ht="30" customHeight="1" x14ac:dyDescent="0.5">
      <c r="B2" s="1" t="s">
        <v>0</v>
      </c>
    </row>
    <row r="4" spans="2:3" ht="17.25" x14ac:dyDescent="0.3">
      <c r="B4" s="2" t="s">
        <v>1</v>
      </c>
    </row>
    <row r="5" spans="2:3" ht="24" customHeight="1" x14ac:dyDescent="0.3">
      <c r="B5" s="3" t="s">
        <v>2</v>
      </c>
      <c r="C5" s="3" t="s">
        <v>3</v>
      </c>
    </row>
    <row r="6" spans="2:3" ht="21.95" customHeight="1" x14ac:dyDescent="0.3">
      <c r="B6" s="4" t="s">
        <v>4</v>
      </c>
      <c r="C6" s="5">
        <f>COUNTA(트러블슈팅_로그!$A$5:$A$100)</f>
        <v>18</v>
      </c>
    </row>
    <row r="7" spans="2:3" ht="21.95" customHeight="1" x14ac:dyDescent="0.3">
      <c r="B7" s="6" t="s">
        <v>42</v>
      </c>
      <c r="C7" s="7">
        <f>COUNTIF(트러블슈팅_로그!$D$5:$D$100, "해결 완료")</f>
        <v>2</v>
      </c>
    </row>
    <row r="8" spans="2:3" ht="21.95" customHeight="1" x14ac:dyDescent="0.3">
      <c r="B8" s="6" t="s">
        <v>6</v>
      </c>
      <c r="C8" s="8">
        <f>COUNTIF(트러블슈팅_로그!$D$5:$D$100, "진행 중")</f>
        <v>1</v>
      </c>
    </row>
    <row r="9" spans="2:3" ht="21.95" customHeight="1" x14ac:dyDescent="0.3">
      <c r="B9" s="9" t="s">
        <v>41</v>
      </c>
      <c r="C9" s="10">
        <f>COUNTIF(트러블슈팅_로그!$D$5:$D$100, "확인 필요")</f>
        <v>1</v>
      </c>
    </row>
  </sheetData>
  <phoneticPr fontId="6" type="noConversion"/>
  <pageMargins left="0.75" right="0.75" top="1" bottom="1" header="0.5" footer="0.5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1"/>
  <sheetViews>
    <sheetView tabSelected="1" workbookViewId="0">
      <selection activeCell="D11" sqref="D11"/>
    </sheetView>
  </sheetViews>
  <sheetFormatPr defaultRowHeight="16.5" x14ac:dyDescent="0.3"/>
  <cols>
    <col min="1" max="1" width="15" customWidth="1"/>
    <col min="2" max="2" width="18" customWidth="1"/>
    <col min="3" max="3" width="32" customWidth="1"/>
    <col min="4" max="4" width="12" customWidth="1"/>
    <col min="5" max="5" width="10" customWidth="1"/>
    <col min="6" max="6" width="20" customWidth="1"/>
    <col min="7" max="9" width="35" customWidth="1"/>
    <col min="10" max="10" width="12" customWidth="1"/>
    <col min="11" max="11" width="18" customWidth="1"/>
  </cols>
  <sheetData>
    <row r="2" spans="1:11" ht="30" customHeight="1" x14ac:dyDescent="0.5">
      <c r="A2" s="1" t="s">
        <v>8</v>
      </c>
    </row>
    <row r="4" spans="1:11" ht="26.1" customHeight="1" x14ac:dyDescent="0.3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19</v>
      </c>
    </row>
    <row r="5" spans="1:11" ht="39.950000000000003" customHeight="1" x14ac:dyDescent="0.3">
      <c r="A5" s="6" t="s">
        <v>20</v>
      </c>
      <c r="B5" s="6" t="s">
        <v>21</v>
      </c>
      <c r="C5" s="11" t="s">
        <v>22</v>
      </c>
      <c r="D5" s="12" t="s">
        <v>6</v>
      </c>
      <c r="E5" s="6" t="s">
        <v>23</v>
      </c>
      <c r="F5" s="6" t="s">
        <v>76</v>
      </c>
      <c r="G5" s="11" t="s">
        <v>24</v>
      </c>
      <c r="H5" s="11" t="s">
        <v>25</v>
      </c>
      <c r="I5" s="11"/>
      <c r="J5" s="6" t="s">
        <v>73</v>
      </c>
      <c r="K5" s="6"/>
    </row>
    <row r="6" spans="1:11" ht="39.950000000000003" customHeight="1" x14ac:dyDescent="0.3">
      <c r="A6" s="13" t="s">
        <v>26</v>
      </c>
      <c r="B6" s="13" t="s">
        <v>27</v>
      </c>
      <c r="C6" s="14" t="s">
        <v>28</v>
      </c>
      <c r="D6" s="15" t="s">
        <v>5</v>
      </c>
      <c r="E6" s="13" t="s">
        <v>29</v>
      </c>
      <c r="F6" s="6" t="s">
        <v>76</v>
      </c>
      <c r="G6" s="14" t="s">
        <v>30</v>
      </c>
      <c r="H6" s="14" t="s">
        <v>79</v>
      </c>
      <c r="I6" s="14" t="s">
        <v>31</v>
      </c>
      <c r="J6" s="13" t="s">
        <v>70</v>
      </c>
      <c r="K6" s="13" t="s">
        <v>32</v>
      </c>
    </row>
    <row r="7" spans="1:11" ht="39.950000000000003" customHeight="1" x14ac:dyDescent="0.3">
      <c r="A7" s="6" t="s">
        <v>33</v>
      </c>
      <c r="B7" s="6" t="s">
        <v>34</v>
      </c>
      <c r="C7" s="11" t="s">
        <v>71</v>
      </c>
      <c r="D7" s="16" t="s">
        <v>7</v>
      </c>
      <c r="E7" s="6" t="s">
        <v>23</v>
      </c>
      <c r="F7" s="6" t="s">
        <v>76</v>
      </c>
      <c r="G7" s="11" t="s">
        <v>75</v>
      </c>
      <c r="H7" s="11" t="s">
        <v>80</v>
      </c>
      <c r="I7" s="11"/>
      <c r="J7" s="6" t="s">
        <v>74</v>
      </c>
      <c r="K7" s="6"/>
    </row>
    <row r="8" spans="1:11" ht="39.950000000000003" customHeight="1" x14ac:dyDescent="0.3">
      <c r="A8" s="13" t="s">
        <v>35</v>
      </c>
      <c r="B8" s="13" t="s">
        <v>36</v>
      </c>
      <c r="C8" s="14" t="s">
        <v>72</v>
      </c>
      <c r="D8" s="15" t="s">
        <v>5</v>
      </c>
      <c r="E8" s="13" t="s">
        <v>37</v>
      </c>
      <c r="F8" s="6" t="s">
        <v>77</v>
      </c>
      <c r="G8" s="14" t="s">
        <v>38</v>
      </c>
      <c r="H8" s="14" t="s">
        <v>78</v>
      </c>
      <c r="I8" s="14" t="s">
        <v>39</v>
      </c>
      <c r="J8" s="13" t="s">
        <v>69</v>
      </c>
      <c r="K8" s="13" t="s">
        <v>40</v>
      </c>
    </row>
    <row r="18" spans="1:2" x14ac:dyDescent="0.3">
      <c r="A18" s="19" t="s">
        <v>68</v>
      </c>
      <c r="B18" s="19"/>
    </row>
    <row r="19" spans="1:2" x14ac:dyDescent="0.3">
      <c r="A19" s="18" t="s">
        <v>43</v>
      </c>
      <c r="B19" s="18" t="s">
        <v>44</v>
      </c>
    </row>
    <row r="20" spans="1:2" x14ac:dyDescent="0.3">
      <c r="A20" s="17" t="s">
        <v>20</v>
      </c>
      <c r="B20" s="17" t="s">
        <v>45</v>
      </c>
    </row>
    <row r="21" spans="1:2" x14ac:dyDescent="0.3">
      <c r="A21" s="17" t="s">
        <v>46</v>
      </c>
      <c r="B21" s="17" t="s">
        <v>47</v>
      </c>
    </row>
    <row r="22" spans="1:2" x14ac:dyDescent="0.3">
      <c r="A22" s="17" t="s">
        <v>48</v>
      </c>
      <c r="B22" s="17" t="s">
        <v>49</v>
      </c>
    </row>
    <row r="23" spans="1:2" x14ac:dyDescent="0.3">
      <c r="A23" s="17" t="s">
        <v>50</v>
      </c>
      <c r="B23" s="17" t="s">
        <v>51</v>
      </c>
    </row>
    <row r="24" spans="1:2" x14ac:dyDescent="0.3">
      <c r="A24" s="17" t="s">
        <v>52</v>
      </c>
      <c r="B24" s="17" t="s">
        <v>53</v>
      </c>
    </row>
    <row r="25" spans="1:2" x14ac:dyDescent="0.3">
      <c r="A25" s="17" t="s">
        <v>54</v>
      </c>
      <c r="B25" s="17" t="s">
        <v>55</v>
      </c>
    </row>
    <row r="26" spans="1:2" x14ac:dyDescent="0.3">
      <c r="A26" s="17" t="s">
        <v>56</v>
      </c>
      <c r="B26" s="17" t="s">
        <v>57</v>
      </c>
    </row>
    <row r="27" spans="1:2" x14ac:dyDescent="0.3">
      <c r="A27" s="17" t="s">
        <v>58</v>
      </c>
      <c r="B27" s="17" t="s">
        <v>59</v>
      </c>
    </row>
    <row r="28" spans="1:2" x14ac:dyDescent="0.3">
      <c r="A28" s="17" t="s">
        <v>60</v>
      </c>
      <c r="B28" s="17" t="s">
        <v>61</v>
      </c>
    </row>
    <row r="29" spans="1:2" x14ac:dyDescent="0.3">
      <c r="A29" s="17" t="s">
        <v>62</v>
      </c>
      <c r="B29" s="17" t="s">
        <v>63</v>
      </c>
    </row>
    <row r="30" spans="1:2" ht="33" x14ac:dyDescent="0.3">
      <c r="A30" s="17" t="s">
        <v>64</v>
      </c>
      <c r="B30" s="17" t="s">
        <v>65</v>
      </c>
    </row>
    <row r="31" spans="1:2" ht="33" x14ac:dyDescent="0.3">
      <c r="A31" s="17" t="s">
        <v>66</v>
      </c>
      <c r="B31" s="17" t="s">
        <v>67</v>
      </c>
    </row>
  </sheetData>
  <autoFilter ref="A4:K8"/>
  <mergeCells count="1">
    <mergeCell ref="A18:B18"/>
  </mergeCells>
  <phoneticPr fontId="6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공통_코드!$A$2:$A$4</xm:f>
          </x14:formula1>
          <xm:sqref>D5:D100</xm:sqref>
        </x14:dataValidation>
        <x14:dataValidation type="list" allowBlank="1">
          <x14:formula1>
            <xm:f>공통_코드!$B$2:$B$4</xm:f>
          </x14:formula1>
          <xm:sqref>E5:E100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6.5" x14ac:dyDescent="0.3"/>
  <sheetData>
    <row r="1" spans="1:2" x14ac:dyDescent="0.3">
      <c r="A1" t="s">
        <v>12</v>
      </c>
      <c r="B1" t="s">
        <v>13</v>
      </c>
    </row>
    <row r="2" spans="1:2" x14ac:dyDescent="0.3">
      <c r="A2" t="s">
        <v>5</v>
      </c>
      <c r="B2" t="s">
        <v>23</v>
      </c>
    </row>
    <row r="3" spans="1:2" x14ac:dyDescent="0.3">
      <c r="A3" t="s">
        <v>6</v>
      </c>
      <c r="B3" t="s">
        <v>29</v>
      </c>
    </row>
    <row r="4" spans="1:2" x14ac:dyDescent="0.3">
      <c r="A4" t="s">
        <v>7</v>
      </c>
      <c r="B4" t="s">
        <v>37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대시보드</vt:lpstr>
      <vt:lpstr>트러블슈팅_로그</vt:lpstr>
      <vt:lpstr>공통_코드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</cp:lastModifiedBy>
  <dcterms:created xsi:type="dcterms:W3CDTF">2026-06-25T05:02:22Z</dcterms:created>
  <dcterms:modified xsi:type="dcterms:W3CDTF">2026-06-25T05:55:56Z</dcterms:modified>
</cp:coreProperties>
</file>